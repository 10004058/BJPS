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urnayr\Documents\CONCEPTS\Ancestry\NewMethod\CorpusPLOS\"/>
    </mc:Choice>
  </mc:AlternateContent>
  <xr:revisionPtr revIDLastSave="0" documentId="13_ncr:1_{2936DF3C-ACC6-48A3-BE16-0D0CE5420033}" xr6:coauthVersionLast="36" xr6:coauthVersionMax="47" xr10:uidLastSave="{00000000-0000-0000-0000-000000000000}"/>
  <bookViews>
    <workbookView xWindow="0" yWindow="0" windowWidth="25200" windowHeight="11175" activeTab="2" xr2:uid="{00000000-000D-0000-FFFF-FFFF00000000}"/>
  </bookViews>
  <sheets>
    <sheet name="ancestry" sheetId="1" r:id="rId1"/>
    <sheet name="race" sheetId="2" r:id="rId2"/>
    <sheet name="ethnicity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</calcChain>
</file>

<file path=xl/sharedStrings.xml><?xml version="1.0" encoding="utf-8"?>
<sst xmlns="http://schemas.openxmlformats.org/spreadsheetml/2006/main" count="15" uniqueCount="11">
  <si>
    <t>PercArticles</t>
  </si>
  <si>
    <t>AncestArticles</t>
  </si>
  <si>
    <t>AncestQuotes</t>
  </si>
  <si>
    <t>PercQuotes</t>
  </si>
  <si>
    <t>AncestOcc</t>
  </si>
  <si>
    <t>OccPerArticle</t>
  </si>
  <si>
    <t>Year</t>
  </si>
  <si>
    <t>Ttarticles</t>
  </si>
  <si>
    <t>Ttquotes</t>
  </si>
  <si>
    <t>RaceArticles</t>
  </si>
  <si>
    <t>EthniArticles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</si>
</sst>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Calibri"/>
      <charset val="1"/>
    </font>
    <font>
      <sz val="11"/>
      <name val="Calibri"/>
      <charset val="1"/>
    </font>
    <font>
      <b/>
      <sz val="11"/>
      <name val="Calibri"/>
      <charset val="1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readingOrder="1"/>
    </xf>
    <xf numFmtId="2" fontId="2" fillId="0" borderId="1" xfId="0" applyNumberFormat="1" applyFont="1" applyBorder="1" applyAlignment="1">
      <alignment horizontal="center" vertical="center" readingOrder="1"/>
    </xf>
    <xf numFmtId="2" fontId="1" fillId="0" borderId="1" xfId="0" applyNumberFormat="1" applyFont="1" applyBorder="1" applyAlignment="1">
      <alignment horizontal="center" vertical="center" readingOrder="1"/>
    </xf>
    <xf numFmtId="2" fontId="0" fillId="0" borderId="0" xfId="0" applyNumberFormat="1" applyAlignment="1">
      <alignment horizontal="center" vertical="center"/>
    </xf>
    <xf numFmtId="0" fontId="4" fillId="0" borderId="1" xfId="0" applyFont="1" applyBorder="1" applyAlignment="1">
      <alignment horizontal="center" vertical="center" readingOrder="1"/>
    </xf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readingOrder="1"/>
    </xf>
    <xf numFmtId="0" fontId="3" fillId="0" borderId="0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workbookViewId="0">
      <selection activeCell="C31" sqref="C31"/>
    </sheetView>
  </sheetViews>
  <sheetFormatPr defaultColWidth="9.140625" defaultRowHeight="15" x14ac:dyDescent="0.25"/>
  <cols>
    <col min="1" max="1" width="15.140625" style="3" customWidth="1"/>
    <col min="2" max="2" width="20.5703125" style="3" customWidth="1"/>
    <col min="3" max="3" width="17.5703125" style="3" customWidth="1"/>
    <col min="4" max="4" width="35.5703125" style="3" customWidth="1"/>
    <col min="5" max="5" width="21.140625" style="3" customWidth="1"/>
    <col min="6" max="6" width="28.7109375" style="3" customWidth="1"/>
    <col min="7" max="7" width="36.42578125" style="7" customWidth="1"/>
    <col min="8" max="8" width="20.85546875" style="3" customWidth="1"/>
    <col min="9" max="9" width="31" style="3" customWidth="1"/>
  </cols>
  <sheetData>
    <row r="1" spans="1:9" x14ac:dyDescent="0.25">
      <c r="A1" s="1" t="s">
        <v>6</v>
      </c>
      <c r="B1" s="1" t="s">
        <v>7</v>
      </c>
      <c r="C1" s="1" t="s">
        <v>1</v>
      </c>
      <c r="D1" s="1" t="s">
        <v>0</v>
      </c>
      <c r="E1" s="1" t="s">
        <v>8</v>
      </c>
      <c r="F1" s="1" t="s">
        <v>2</v>
      </c>
      <c r="G1" s="6" t="s">
        <v>3</v>
      </c>
      <c r="H1" s="1" t="s">
        <v>4</v>
      </c>
      <c r="I1" s="1" t="s">
        <v>5</v>
      </c>
    </row>
    <row r="2" spans="1:9" x14ac:dyDescent="0.25">
      <c r="A2" s="4">
        <v>2003</v>
      </c>
      <c r="B2" s="2">
        <v>98</v>
      </c>
      <c r="C2" s="2">
        <v>2</v>
      </c>
      <c r="D2" s="5">
        <f>(C2*100)/B2</f>
        <v>2.0408163265306123</v>
      </c>
      <c r="E2" s="2">
        <v>289</v>
      </c>
      <c r="F2" s="2">
        <v>4</v>
      </c>
      <c r="G2" s="5">
        <v>1.38</v>
      </c>
      <c r="H2" s="2">
        <v>4</v>
      </c>
      <c r="I2" s="8">
        <v>2</v>
      </c>
    </row>
    <row r="3" spans="1:9" x14ac:dyDescent="0.25">
      <c r="A3" s="4">
        <v>2004</v>
      </c>
      <c r="B3" s="2">
        <v>456</v>
      </c>
      <c r="C3" s="2">
        <v>4</v>
      </c>
      <c r="D3" s="5">
        <f t="shared" ref="D3:D24" si="0">(C3*100)/B3</f>
        <v>0.8771929824561403</v>
      </c>
      <c r="E3" s="2">
        <v>976</v>
      </c>
      <c r="F3" s="2">
        <v>15</v>
      </c>
      <c r="G3" s="5">
        <v>1.54</v>
      </c>
      <c r="H3" s="2">
        <v>15</v>
      </c>
      <c r="I3" s="2">
        <v>3.75</v>
      </c>
    </row>
    <row r="4" spans="1:9" x14ac:dyDescent="0.25">
      <c r="A4" s="4">
        <v>2005</v>
      </c>
      <c r="B4" s="2">
        <v>508</v>
      </c>
      <c r="C4" s="2">
        <v>21</v>
      </c>
      <c r="D4" s="5">
        <f t="shared" si="0"/>
        <v>4.1338582677165352</v>
      </c>
      <c r="E4" s="2">
        <v>4984</v>
      </c>
      <c r="F4" s="2">
        <v>86</v>
      </c>
      <c r="G4" s="5">
        <v>1.73</v>
      </c>
      <c r="H4" s="2">
        <v>92</v>
      </c>
      <c r="I4" s="2">
        <v>4.38</v>
      </c>
    </row>
    <row r="5" spans="1:9" x14ac:dyDescent="0.25">
      <c r="A5" s="4">
        <v>2006</v>
      </c>
      <c r="B5" s="2">
        <v>631</v>
      </c>
      <c r="C5" s="2">
        <v>29</v>
      </c>
      <c r="D5" s="5">
        <f t="shared" si="0"/>
        <v>4.5958795562599049</v>
      </c>
      <c r="E5" s="2">
        <v>7816</v>
      </c>
      <c r="F5" s="2">
        <v>286</v>
      </c>
      <c r="G5" s="5">
        <v>3.66</v>
      </c>
      <c r="H5" s="2">
        <v>336</v>
      </c>
      <c r="I5" s="2">
        <v>11.59</v>
      </c>
    </row>
    <row r="6" spans="1:9" x14ac:dyDescent="0.25">
      <c r="A6" s="4">
        <v>2007</v>
      </c>
      <c r="B6" s="2">
        <v>551</v>
      </c>
      <c r="C6" s="2">
        <v>35</v>
      </c>
      <c r="D6" s="5">
        <f t="shared" si="0"/>
        <v>6.3520871143375679</v>
      </c>
      <c r="E6" s="2">
        <v>9757</v>
      </c>
      <c r="F6" s="2">
        <v>257</v>
      </c>
      <c r="G6" s="5">
        <v>2.63</v>
      </c>
      <c r="H6" s="2">
        <v>293</v>
      </c>
      <c r="I6" s="2">
        <v>8.3699999999999992</v>
      </c>
    </row>
    <row r="7" spans="1:9" x14ac:dyDescent="0.25">
      <c r="A7" s="4">
        <v>2008</v>
      </c>
      <c r="B7" s="2">
        <v>702</v>
      </c>
      <c r="C7" s="2">
        <v>43</v>
      </c>
      <c r="D7" s="5">
        <f t="shared" si="0"/>
        <v>6.1253561253561255</v>
      </c>
      <c r="E7" s="2">
        <v>10658</v>
      </c>
      <c r="F7" s="2">
        <v>482</v>
      </c>
      <c r="G7" s="5">
        <v>4.5199999999999996</v>
      </c>
      <c r="H7" s="2">
        <v>589</v>
      </c>
      <c r="I7" s="2">
        <v>13.7</v>
      </c>
    </row>
    <row r="8" spans="1:9" x14ac:dyDescent="0.25">
      <c r="A8" s="4">
        <v>2009</v>
      </c>
      <c r="B8" s="2">
        <v>764</v>
      </c>
      <c r="C8" s="2">
        <v>54</v>
      </c>
      <c r="D8" s="5">
        <f t="shared" si="0"/>
        <v>7.0680628272251305</v>
      </c>
      <c r="E8" s="2">
        <v>15573</v>
      </c>
      <c r="F8" s="2">
        <v>864</v>
      </c>
      <c r="G8" s="5">
        <v>5.55</v>
      </c>
      <c r="H8" s="2">
        <v>1071</v>
      </c>
      <c r="I8" s="2">
        <v>19.829999999999998</v>
      </c>
    </row>
    <row r="9" spans="1:9" x14ac:dyDescent="0.25">
      <c r="A9" s="4">
        <v>2010</v>
      </c>
      <c r="B9" s="2">
        <v>801</v>
      </c>
      <c r="C9" s="2">
        <v>66</v>
      </c>
      <c r="D9" s="5">
        <f t="shared" si="0"/>
        <v>8.2397003745318358</v>
      </c>
      <c r="E9" s="2">
        <v>16940</v>
      </c>
      <c r="F9" s="2">
        <v>510</v>
      </c>
      <c r="G9" s="5">
        <v>3.01</v>
      </c>
      <c r="H9" s="2">
        <v>586</v>
      </c>
      <c r="I9" s="2">
        <v>8.8800000000000008</v>
      </c>
    </row>
    <row r="10" spans="1:9" x14ac:dyDescent="0.25">
      <c r="A10" s="4">
        <v>2011</v>
      </c>
      <c r="B10" s="2">
        <v>873</v>
      </c>
      <c r="C10" s="2">
        <v>97</v>
      </c>
      <c r="D10" s="5">
        <f t="shared" si="0"/>
        <v>11.111111111111111</v>
      </c>
      <c r="E10" s="2">
        <v>27047</v>
      </c>
      <c r="F10" s="2">
        <v>899</v>
      </c>
      <c r="G10" s="5">
        <v>3.32</v>
      </c>
      <c r="H10" s="2">
        <v>1087</v>
      </c>
      <c r="I10" s="2">
        <v>11.21</v>
      </c>
    </row>
    <row r="11" spans="1:9" x14ac:dyDescent="0.25">
      <c r="A11" s="4">
        <v>2012</v>
      </c>
      <c r="B11" s="2">
        <v>987</v>
      </c>
      <c r="C11" s="2">
        <v>77</v>
      </c>
      <c r="D11" s="5">
        <f t="shared" si="0"/>
        <v>7.8014184397163122</v>
      </c>
      <c r="E11" s="2">
        <v>23400</v>
      </c>
      <c r="F11" s="2">
        <v>827</v>
      </c>
      <c r="G11" s="5">
        <v>3.53</v>
      </c>
      <c r="H11" s="2">
        <v>966</v>
      </c>
      <c r="I11" s="2">
        <v>12.55</v>
      </c>
    </row>
    <row r="12" spans="1:9" x14ac:dyDescent="0.25">
      <c r="A12" s="4">
        <v>2013</v>
      </c>
      <c r="B12" s="2">
        <v>1210</v>
      </c>
      <c r="C12" s="2">
        <v>85</v>
      </c>
      <c r="D12" s="5">
        <f t="shared" si="0"/>
        <v>7.0247933884297522</v>
      </c>
      <c r="E12" s="2">
        <v>28233</v>
      </c>
      <c r="F12" s="2">
        <v>1133</v>
      </c>
      <c r="G12" s="5">
        <v>4.01</v>
      </c>
      <c r="H12" s="2">
        <v>1306</v>
      </c>
      <c r="I12" s="2">
        <v>15.36</v>
      </c>
    </row>
    <row r="13" spans="1:9" x14ac:dyDescent="0.25">
      <c r="A13" s="4">
        <v>2014</v>
      </c>
      <c r="B13" s="2">
        <v>1132</v>
      </c>
      <c r="C13" s="2">
        <v>83</v>
      </c>
      <c r="D13" s="5">
        <f t="shared" si="0"/>
        <v>7.3321554770318018</v>
      </c>
      <c r="E13" s="2">
        <v>27883</v>
      </c>
      <c r="F13" s="2">
        <v>1012</v>
      </c>
      <c r="G13" s="5">
        <v>3.63</v>
      </c>
      <c r="H13" s="2">
        <v>1253</v>
      </c>
      <c r="I13" s="2">
        <v>15.1</v>
      </c>
    </row>
    <row r="14" spans="1:9" x14ac:dyDescent="0.25">
      <c r="A14" s="4">
        <v>2015</v>
      </c>
      <c r="B14" s="2">
        <v>1171</v>
      </c>
      <c r="C14" s="2">
        <v>54</v>
      </c>
      <c r="D14" s="5">
        <f t="shared" si="0"/>
        <v>4.6114432109308288</v>
      </c>
      <c r="E14" s="2">
        <v>21225</v>
      </c>
      <c r="F14" s="2">
        <v>661</v>
      </c>
      <c r="G14" s="5">
        <v>3.11</v>
      </c>
      <c r="H14" s="2">
        <v>730</v>
      </c>
      <c r="I14" s="2">
        <v>13.52</v>
      </c>
    </row>
    <row r="15" spans="1:9" x14ac:dyDescent="0.25">
      <c r="A15" s="4">
        <v>2016</v>
      </c>
      <c r="B15" s="2">
        <v>1067</v>
      </c>
      <c r="C15" s="2">
        <v>64</v>
      </c>
      <c r="D15" s="5">
        <f t="shared" si="0"/>
        <v>5.998125585754452</v>
      </c>
      <c r="E15" s="2">
        <v>24828</v>
      </c>
      <c r="F15" s="2">
        <v>520</v>
      </c>
      <c r="G15" s="5">
        <v>2.09</v>
      </c>
      <c r="H15" s="2">
        <v>602</v>
      </c>
      <c r="I15" s="2">
        <v>9.41</v>
      </c>
    </row>
    <row r="16" spans="1:9" x14ac:dyDescent="0.25">
      <c r="A16" s="4">
        <v>2017</v>
      </c>
      <c r="B16" s="2">
        <v>877</v>
      </c>
      <c r="C16" s="2">
        <v>72</v>
      </c>
      <c r="D16" s="5">
        <f t="shared" si="0"/>
        <v>8.2098061573546186</v>
      </c>
      <c r="E16" s="2">
        <v>32367</v>
      </c>
      <c r="F16" s="2">
        <v>1403</v>
      </c>
      <c r="G16" s="5">
        <v>4.33</v>
      </c>
      <c r="H16" s="2">
        <v>1648</v>
      </c>
      <c r="I16" s="2">
        <v>22.89</v>
      </c>
    </row>
    <row r="17" spans="1:9" x14ac:dyDescent="0.25">
      <c r="A17" s="4">
        <v>2018</v>
      </c>
      <c r="B17" s="2">
        <v>1041</v>
      </c>
      <c r="C17" s="2">
        <v>81</v>
      </c>
      <c r="D17" s="5">
        <f t="shared" si="0"/>
        <v>7.7809798270893369</v>
      </c>
      <c r="E17" s="2">
        <v>36246</v>
      </c>
      <c r="F17" s="2">
        <v>939</v>
      </c>
      <c r="G17" s="5">
        <v>2.59</v>
      </c>
      <c r="H17" s="2">
        <v>1081</v>
      </c>
      <c r="I17" s="2">
        <v>13.35</v>
      </c>
    </row>
    <row r="18" spans="1:9" x14ac:dyDescent="0.25">
      <c r="A18" s="4">
        <v>2019</v>
      </c>
      <c r="B18" s="2">
        <v>1058</v>
      </c>
      <c r="C18" s="2">
        <v>75</v>
      </c>
      <c r="D18" s="5">
        <f t="shared" si="0"/>
        <v>7.0888468809073721</v>
      </c>
      <c r="E18" s="2">
        <v>37012</v>
      </c>
      <c r="F18" s="2">
        <v>948</v>
      </c>
      <c r="G18" s="5">
        <v>2.56</v>
      </c>
      <c r="H18" s="2">
        <v>1091</v>
      </c>
      <c r="I18" s="2">
        <v>14.55</v>
      </c>
    </row>
    <row r="19" spans="1:9" x14ac:dyDescent="0.25">
      <c r="A19" s="4">
        <v>2020</v>
      </c>
      <c r="B19" s="2">
        <v>928</v>
      </c>
      <c r="C19" s="2">
        <v>74</v>
      </c>
      <c r="D19" s="5">
        <f t="shared" si="0"/>
        <v>7.9741379310344831</v>
      </c>
      <c r="E19" s="2">
        <v>35412</v>
      </c>
      <c r="F19" s="2">
        <v>1243</v>
      </c>
      <c r="G19" s="5">
        <v>3.51</v>
      </c>
      <c r="H19" s="2">
        <v>1448</v>
      </c>
      <c r="I19" s="2">
        <v>19.57</v>
      </c>
    </row>
    <row r="20" spans="1:9" x14ac:dyDescent="0.25">
      <c r="A20" s="4">
        <v>2021</v>
      </c>
      <c r="B20" s="2">
        <v>932</v>
      </c>
      <c r="C20" s="2">
        <v>77</v>
      </c>
      <c r="D20" s="5">
        <f t="shared" si="0"/>
        <v>8.2618025751072963</v>
      </c>
      <c r="E20" s="2">
        <v>37579</v>
      </c>
      <c r="F20" s="2">
        <v>1032</v>
      </c>
      <c r="G20" s="5">
        <v>2.75</v>
      </c>
      <c r="H20" s="2">
        <v>1196</v>
      </c>
      <c r="I20" s="2">
        <v>15.53</v>
      </c>
    </row>
    <row r="21" spans="1:9" x14ac:dyDescent="0.25">
      <c r="A21" s="4">
        <v>2022</v>
      </c>
      <c r="B21" s="2">
        <v>900</v>
      </c>
      <c r="C21" s="2">
        <v>80</v>
      </c>
      <c r="D21" s="5">
        <f t="shared" si="0"/>
        <v>8.8888888888888893</v>
      </c>
      <c r="E21" s="2">
        <v>37678</v>
      </c>
      <c r="F21" s="2">
        <v>1293</v>
      </c>
      <c r="G21" s="5">
        <v>3.43</v>
      </c>
      <c r="H21" s="2">
        <v>1498</v>
      </c>
      <c r="I21" s="2">
        <v>18.73</v>
      </c>
    </row>
    <row r="22" spans="1:9" x14ac:dyDescent="0.25">
      <c r="A22" s="4">
        <v>2023</v>
      </c>
      <c r="B22" s="2">
        <v>903</v>
      </c>
      <c r="C22" s="2">
        <v>77</v>
      </c>
      <c r="D22" s="5">
        <f t="shared" si="0"/>
        <v>8.5271317829457356</v>
      </c>
      <c r="E22" s="2">
        <v>36579</v>
      </c>
      <c r="F22" s="2">
        <v>938</v>
      </c>
      <c r="G22" s="5">
        <v>2.56</v>
      </c>
      <c r="H22" s="2">
        <v>1034</v>
      </c>
      <c r="I22" s="2">
        <v>13.43</v>
      </c>
    </row>
    <row r="23" spans="1:9" x14ac:dyDescent="0.25">
      <c r="A23" s="4">
        <v>2024</v>
      </c>
      <c r="B23" s="2">
        <v>808</v>
      </c>
      <c r="C23" s="2">
        <v>64</v>
      </c>
      <c r="D23" s="5">
        <f t="shared" si="0"/>
        <v>7.9207920792079207</v>
      </c>
      <c r="E23" s="2">
        <v>34184</v>
      </c>
      <c r="F23" s="2">
        <v>1294</v>
      </c>
      <c r="G23" s="5">
        <v>3.79</v>
      </c>
      <c r="H23" s="2">
        <v>1509</v>
      </c>
      <c r="I23" s="2">
        <v>23.58</v>
      </c>
    </row>
    <row r="24" spans="1:9" x14ac:dyDescent="0.25">
      <c r="A24" s="4">
        <v>2025</v>
      </c>
      <c r="B24" s="2">
        <v>977</v>
      </c>
      <c r="C24" s="2">
        <v>59</v>
      </c>
      <c r="D24" s="5">
        <f t="shared" si="0"/>
        <v>6.0388945752302972</v>
      </c>
      <c r="E24" s="2">
        <v>29190</v>
      </c>
      <c r="F24" s="2">
        <v>823</v>
      </c>
      <c r="G24" s="5">
        <v>2.82</v>
      </c>
      <c r="H24" s="2">
        <v>917</v>
      </c>
      <c r="I24" s="2">
        <v>15.54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D07A3-D108-4AD1-A878-725EBAA5935F}">
  <dimension ref="A1:C24"/>
  <sheetViews>
    <sheetView workbookViewId="0">
      <selection sqref="A1:XFD1048576"/>
    </sheetView>
  </sheetViews>
  <sheetFormatPr defaultRowHeight="15" x14ac:dyDescent="0.25"/>
  <cols>
    <col min="1" max="3" width="15.140625" customWidth="1"/>
  </cols>
  <sheetData>
    <row r="1" spans="1:3" x14ac:dyDescent="0.25">
      <c r="A1" s="10" t="s">
        <v>6</v>
      </c>
      <c r="B1" s="10" t="s">
        <v>7</v>
      </c>
      <c r="C1" s="10" t="s">
        <v>9</v>
      </c>
    </row>
    <row r="2" spans="1:3" x14ac:dyDescent="0.25">
      <c r="A2" s="11">
        <v>2003</v>
      </c>
      <c r="B2" s="9">
        <v>98</v>
      </c>
      <c r="C2" s="9">
        <v>1</v>
      </c>
    </row>
    <row r="3" spans="1:3" x14ac:dyDescent="0.25">
      <c r="A3" s="11">
        <v>2004</v>
      </c>
      <c r="B3" s="9">
        <v>456</v>
      </c>
      <c r="C3" s="9">
        <v>26</v>
      </c>
    </row>
    <row r="4" spans="1:3" x14ac:dyDescent="0.25">
      <c r="A4" s="11">
        <v>2005</v>
      </c>
      <c r="B4" s="9">
        <v>508</v>
      </c>
      <c r="C4" s="9">
        <v>19</v>
      </c>
    </row>
    <row r="5" spans="1:3" x14ac:dyDescent="0.25">
      <c r="A5" s="11">
        <v>2006</v>
      </c>
      <c r="B5" s="9">
        <v>631</v>
      </c>
      <c r="C5" s="9">
        <v>43</v>
      </c>
    </row>
    <row r="6" spans="1:3" x14ac:dyDescent="0.25">
      <c r="A6" s="11">
        <v>2007</v>
      </c>
      <c r="B6" s="9">
        <v>551</v>
      </c>
      <c r="C6" s="9">
        <v>35</v>
      </c>
    </row>
    <row r="7" spans="1:3" x14ac:dyDescent="0.25">
      <c r="A7" s="11">
        <v>2008</v>
      </c>
      <c r="B7" s="9">
        <v>702</v>
      </c>
      <c r="C7" s="9">
        <v>53</v>
      </c>
    </row>
    <row r="8" spans="1:3" x14ac:dyDescent="0.25">
      <c r="A8" s="11">
        <v>2009</v>
      </c>
      <c r="B8" s="9">
        <v>764</v>
      </c>
      <c r="C8" s="9">
        <v>44</v>
      </c>
    </row>
    <row r="9" spans="1:3" x14ac:dyDescent="0.25">
      <c r="A9" s="11">
        <v>2010</v>
      </c>
      <c r="B9" s="9">
        <v>801</v>
      </c>
      <c r="C9" s="9">
        <v>104</v>
      </c>
    </row>
    <row r="10" spans="1:3" x14ac:dyDescent="0.25">
      <c r="A10" s="11">
        <v>2011</v>
      </c>
      <c r="B10" s="9">
        <v>873</v>
      </c>
      <c r="C10" s="9">
        <v>152</v>
      </c>
    </row>
    <row r="11" spans="1:3" x14ac:dyDescent="0.25">
      <c r="A11" s="11">
        <v>2012</v>
      </c>
      <c r="B11" s="9">
        <v>987</v>
      </c>
      <c r="C11" s="9">
        <v>59</v>
      </c>
    </row>
    <row r="12" spans="1:3" x14ac:dyDescent="0.25">
      <c r="A12" s="11">
        <v>2013</v>
      </c>
      <c r="B12" s="9">
        <v>1210</v>
      </c>
      <c r="C12" s="9">
        <v>164</v>
      </c>
    </row>
    <row r="13" spans="1:3" x14ac:dyDescent="0.25">
      <c r="A13" s="11">
        <v>2014</v>
      </c>
      <c r="B13" s="9">
        <v>1132</v>
      </c>
      <c r="C13" s="9">
        <v>109</v>
      </c>
    </row>
    <row r="14" spans="1:3" x14ac:dyDescent="0.25">
      <c r="A14" s="11">
        <v>2015</v>
      </c>
      <c r="B14" s="9">
        <v>1171</v>
      </c>
      <c r="C14" s="9">
        <v>82</v>
      </c>
    </row>
    <row r="15" spans="1:3" x14ac:dyDescent="0.25">
      <c r="A15" s="11">
        <v>2016</v>
      </c>
      <c r="B15" s="9">
        <v>1067</v>
      </c>
      <c r="C15" s="9">
        <v>65</v>
      </c>
    </row>
    <row r="16" spans="1:3" x14ac:dyDescent="0.25">
      <c r="A16" s="11">
        <v>2017</v>
      </c>
      <c r="B16" s="9">
        <v>877</v>
      </c>
      <c r="C16" s="9">
        <v>115</v>
      </c>
    </row>
    <row r="17" spans="1:3" x14ac:dyDescent="0.25">
      <c r="A17" s="11">
        <v>2018</v>
      </c>
      <c r="B17" s="9">
        <v>1041</v>
      </c>
      <c r="C17" s="9">
        <v>263</v>
      </c>
    </row>
    <row r="18" spans="1:3" x14ac:dyDescent="0.25">
      <c r="A18" s="11">
        <v>2019</v>
      </c>
      <c r="B18" s="9">
        <v>1058</v>
      </c>
      <c r="C18" s="9">
        <v>73</v>
      </c>
    </row>
    <row r="19" spans="1:3" x14ac:dyDescent="0.25">
      <c r="A19" s="11">
        <v>2020</v>
      </c>
      <c r="B19" s="9">
        <v>928</v>
      </c>
      <c r="C19" s="9">
        <v>99</v>
      </c>
    </row>
    <row r="20" spans="1:3" x14ac:dyDescent="0.25">
      <c r="A20" s="11">
        <v>2021</v>
      </c>
      <c r="B20" s="9">
        <v>932</v>
      </c>
      <c r="C20" s="9">
        <v>81</v>
      </c>
    </row>
    <row r="21" spans="1:3" x14ac:dyDescent="0.25">
      <c r="A21" s="11">
        <v>2022</v>
      </c>
      <c r="B21" s="9">
        <v>900</v>
      </c>
      <c r="C21" s="9">
        <v>87</v>
      </c>
    </row>
    <row r="22" spans="1:3" x14ac:dyDescent="0.25">
      <c r="A22" s="11">
        <v>2023</v>
      </c>
      <c r="B22" s="9">
        <v>903</v>
      </c>
      <c r="C22" s="9">
        <v>164</v>
      </c>
    </row>
    <row r="23" spans="1:3" x14ac:dyDescent="0.25">
      <c r="A23" s="11">
        <v>2024</v>
      </c>
      <c r="B23" s="9">
        <v>808</v>
      </c>
      <c r="C23" s="9">
        <v>44</v>
      </c>
    </row>
    <row r="24" spans="1:3" x14ac:dyDescent="0.25">
      <c r="A24" s="11">
        <v>2025</v>
      </c>
      <c r="B24" s="9">
        <v>977</v>
      </c>
      <c r="C24" s="9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CC711-7CDE-4D3C-9079-FEE538D59C18}">
  <dimension ref="A1:C24"/>
  <sheetViews>
    <sheetView tabSelected="1" workbookViewId="0">
      <selection activeCell="C25" sqref="C25"/>
    </sheetView>
  </sheetViews>
  <sheetFormatPr defaultRowHeight="15" x14ac:dyDescent="0.25"/>
  <cols>
    <col min="1" max="3" width="15.140625" customWidth="1"/>
  </cols>
  <sheetData>
    <row r="1" spans="1:3" x14ac:dyDescent="0.25">
      <c r="A1" s="10" t="s">
        <v>6</v>
      </c>
      <c r="B1" s="10" t="s">
        <v>7</v>
      </c>
      <c r="C1" s="10" t="s">
        <v>10</v>
      </c>
    </row>
    <row r="2" spans="1:3" x14ac:dyDescent="0.25">
      <c r="A2" s="11">
        <v>2003</v>
      </c>
      <c r="B2" s="9">
        <v>98</v>
      </c>
      <c r="C2" s="9">
        <v>1</v>
      </c>
    </row>
    <row r="3" spans="1:3" x14ac:dyDescent="0.25">
      <c r="A3" s="11">
        <v>2004</v>
      </c>
      <c r="B3" s="9">
        <v>456</v>
      </c>
      <c r="C3" s="9">
        <v>0</v>
      </c>
    </row>
    <row r="4" spans="1:3" x14ac:dyDescent="0.25">
      <c r="A4" s="11">
        <v>2005</v>
      </c>
      <c r="B4" s="9">
        <v>508</v>
      </c>
      <c r="C4" s="9">
        <v>19</v>
      </c>
    </row>
    <row r="5" spans="1:3" x14ac:dyDescent="0.25">
      <c r="A5" s="11">
        <v>2006</v>
      </c>
      <c r="B5" s="9">
        <v>631</v>
      </c>
      <c r="C5" s="9">
        <v>8</v>
      </c>
    </row>
    <row r="6" spans="1:3" x14ac:dyDescent="0.25">
      <c r="A6" s="11">
        <v>2007</v>
      </c>
      <c r="B6" s="9">
        <v>551</v>
      </c>
      <c r="C6" s="9">
        <v>15</v>
      </c>
    </row>
    <row r="7" spans="1:3" x14ac:dyDescent="0.25">
      <c r="A7" s="11">
        <v>2008</v>
      </c>
      <c r="B7" s="9">
        <v>702</v>
      </c>
      <c r="C7" s="9">
        <v>15</v>
      </c>
    </row>
    <row r="8" spans="1:3" x14ac:dyDescent="0.25">
      <c r="A8" s="11">
        <v>2009</v>
      </c>
      <c r="B8" s="9">
        <v>764</v>
      </c>
      <c r="C8" s="9">
        <v>31</v>
      </c>
    </row>
    <row r="9" spans="1:3" x14ac:dyDescent="0.25">
      <c r="A9" s="11">
        <v>2010</v>
      </c>
      <c r="B9" s="9">
        <v>801</v>
      </c>
      <c r="C9" s="9">
        <v>53</v>
      </c>
    </row>
    <row r="10" spans="1:3" x14ac:dyDescent="0.25">
      <c r="A10" s="11">
        <v>2011</v>
      </c>
      <c r="B10" s="9">
        <v>873</v>
      </c>
      <c r="C10" s="9">
        <v>86</v>
      </c>
    </row>
    <row r="11" spans="1:3" x14ac:dyDescent="0.25">
      <c r="A11" s="11">
        <v>2012</v>
      </c>
      <c r="B11" s="9">
        <v>987</v>
      </c>
      <c r="C11" s="9">
        <v>85</v>
      </c>
    </row>
    <row r="12" spans="1:3" x14ac:dyDescent="0.25">
      <c r="A12" s="11">
        <v>2013</v>
      </c>
      <c r="B12" s="9">
        <v>1210</v>
      </c>
      <c r="C12" s="9">
        <v>75</v>
      </c>
    </row>
    <row r="13" spans="1:3" x14ac:dyDescent="0.25">
      <c r="A13" s="11">
        <v>2014</v>
      </c>
      <c r="B13" s="9">
        <v>1132</v>
      </c>
      <c r="C13" s="9">
        <v>86</v>
      </c>
    </row>
    <row r="14" spans="1:3" x14ac:dyDescent="0.25">
      <c r="A14" s="11">
        <v>2015</v>
      </c>
      <c r="B14" s="9">
        <v>1171</v>
      </c>
      <c r="C14" s="9">
        <v>38</v>
      </c>
    </row>
    <row r="15" spans="1:3" x14ac:dyDescent="0.25">
      <c r="A15" s="11">
        <v>2016</v>
      </c>
      <c r="B15" s="9">
        <v>1067</v>
      </c>
      <c r="C15" s="9">
        <v>53</v>
      </c>
    </row>
    <row r="16" spans="1:3" x14ac:dyDescent="0.25">
      <c r="A16" s="11">
        <v>2017</v>
      </c>
      <c r="B16" s="9">
        <v>877</v>
      </c>
      <c r="C16" s="9">
        <v>59</v>
      </c>
    </row>
    <row r="17" spans="1:3" x14ac:dyDescent="0.25">
      <c r="A17" s="11">
        <v>2018</v>
      </c>
      <c r="B17" s="9">
        <v>1041</v>
      </c>
      <c r="C17" s="9">
        <v>169</v>
      </c>
    </row>
    <row r="18" spans="1:3" x14ac:dyDescent="0.25">
      <c r="A18" s="11">
        <v>2019</v>
      </c>
      <c r="B18" s="9">
        <v>1058</v>
      </c>
      <c r="C18" s="9">
        <v>77</v>
      </c>
    </row>
    <row r="19" spans="1:3" x14ac:dyDescent="0.25">
      <c r="A19" s="11">
        <v>2020</v>
      </c>
      <c r="B19" s="9">
        <v>928</v>
      </c>
      <c r="C19" s="9">
        <v>54</v>
      </c>
    </row>
    <row r="20" spans="1:3" x14ac:dyDescent="0.25">
      <c r="A20" s="11">
        <v>2021</v>
      </c>
      <c r="B20" s="9">
        <v>932</v>
      </c>
      <c r="C20" s="9">
        <v>40</v>
      </c>
    </row>
    <row r="21" spans="1:3" x14ac:dyDescent="0.25">
      <c r="A21" s="11">
        <v>2022</v>
      </c>
      <c r="B21" s="9">
        <v>900</v>
      </c>
      <c r="C21" s="9">
        <v>167</v>
      </c>
    </row>
    <row r="22" spans="1:3" x14ac:dyDescent="0.25">
      <c r="A22" s="11">
        <v>2023</v>
      </c>
      <c r="B22" s="9">
        <v>903</v>
      </c>
      <c r="C22" s="9">
        <v>73</v>
      </c>
    </row>
    <row r="23" spans="1:3" x14ac:dyDescent="0.25">
      <c r="A23" s="11">
        <v>2024</v>
      </c>
      <c r="B23" s="9">
        <v>808</v>
      </c>
      <c r="C23" s="9">
        <v>41</v>
      </c>
    </row>
    <row r="24" spans="1:3" x14ac:dyDescent="0.25">
      <c r="A24" s="11">
        <v>2025</v>
      </c>
      <c r="B24" s="9">
        <v>977</v>
      </c>
      <c r="C24" s="9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ancestry</vt:lpstr>
      <vt:lpstr>race</vt:lpstr>
      <vt:lpstr>ethnicity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Lucie Tournayre</cp:lastModifiedBy>
  <cp:revision/>
  <dcterms:created xsi:type="dcterms:W3CDTF">2026-02-05T09:30:43Z</dcterms:created>
  <dcterms:modified xsi:type="dcterms:W3CDTF">2026-07-02T12:55:18Z</dcterms:modified>
  <cp:category/>
  <cp:contentStatus/>
</cp:coreProperties>
</file>